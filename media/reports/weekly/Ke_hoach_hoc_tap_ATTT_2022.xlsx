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Khoa-CNTT\Docs\NCKH\2023\KĐ-CTĐT\CTĐT-2022\"/>
    </mc:Choice>
  </mc:AlternateContent>
  <xr:revisionPtr revIDLastSave="0" documentId="8_{D20AF8A4-77BC-459D-8943-5CDC32727EA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n toan thong tin" sheetId="1" r:id="rId1"/>
    <sheet name="Sheet2" sheetId="3" r:id="rId2"/>
    <sheet name="Sheet3" sheetId="4" r:id="rId3"/>
  </sheets>
  <calcPr calcId="191029"/>
</workbook>
</file>

<file path=xl/calcChain.xml><?xml version="1.0" encoding="utf-8"?>
<calcChain xmlns="http://schemas.openxmlformats.org/spreadsheetml/2006/main">
  <c r="C41" i="1" l="1"/>
  <c r="C33" i="1" l="1"/>
  <c r="H41" i="1" l="1"/>
  <c r="C46" i="1" l="1"/>
  <c r="H33" i="1" l="1"/>
  <c r="H22" i="1"/>
  <c r="H13" i="1"/>
  <c r="C13" i="1"/>
  <c r="C22" i="1" s="1"/>
  <c r="H46" i="1" l="1"/>
</calcChain>
</file>

<file path=xl/sharedStrings.xml><?xml version="1.0" encoding="utf-8"?>
<sst xmlns="http://schemas.openxmlformats.org/spreadsheetml/2006/main" count="143" uniqueCount="83">
  <si>
    <t>KẾ HOẠCH &amp; TIẾN TRÌNH HỌC TẬP CHUẨN</t>
  </si>
  <si>
    <t>NĂM HỌC THỨ NHẤT</t>
  </si>
  <si>
    <t>NĂM HỌC THỨ HAI</t>
  </si>
  <si>
    <t>TT</t>
  </si>
  <si>
    <t>Tên môn học/học phần</t>
  </si>
  <si>
    <t>Số TC</t>
  </si>
  <si>
    <t>Học kỳ</t>
  </si>
  <si>
    <t>HK1</t>
  </si>
  <si>
    <t>HK3</t>
  </si>
  <si>
    <t>Đại số</t>
  </si>
  <si>
    <t>Toán rời rạc 1</t>
  </si>
  <si>
    <t>Giải tích 1</t>
  </si>
  <si>
    <t>Tin học cơ sở 1</t>
  </si>
  <si>
    <t>Ngôn ngữ lập trình C++</t>
  </si>
  <si>
    <t>Kiến trúc máy tính</t>
  </si>
  <si>
    <t>Phương pháp luận NCKH</t>
  </si>
  <si>
    <t>HK2</t>
  </si>
  <si>
    <t>Toán rời rạc 2</t>
  </si>
  <si>
    <t>HK4</t>
  </si>
  <si>
    <t>Giải tích 2</t>
  </si>
  <si>
    <t>Cấu trúc dữ liệu và giải thuật</t>
  </si>
  <si>
    <t>Xác suất thống kê</t>
  </si>
  <si>
    <t>Hệ điều hành</t>
  </si>
  <si>
    <t>Tin học cơ sở 2</t>
  </si>
  <si>
    <t>Cơ sở dữ liệu</t>
  </si>
  <si>
    <t>NĂM HỌC THỨ BA</t>
  </si>
  <si>
    <t>NĂM HỌC THỨ TƯ</t>
  </si>
  <si>
    <t>Lý thuyết thông tin</t>
  </si>
  <si>
    <t>HK5</t>
  </si>
  <si>
    <t>Quản lý an toàn thông tin</t>
  </si>
  <si>
    <t>HK7</t>
  </si>
  <si>
    <t>Lập trình hướng đối tượng</t>
  </si>
  <si>
    <t>Mạng máy tính</t>
  </si>
  <si>
    <t>An toàn mạng</t>
  </si>
  <si>
    <t>Hệ điều hành Windows và Linux/Unix</t>
  </si>
  <si>
    <t>An toàn hệ điều hành</t>
  </si>
  <si>
    <t>Giáo dục quốc phòng</t>
  </si>
  <si>
    <t>Phân tích và thiết kế hệ thống thông tin</t>
  </si>
  <si>
    <t>HK6</t>
  </si>
  <si>
    <t>An toàn mạng nâng cao</t>
  </si>
  <si>
    <t>HK8</t>
  </si>
  <si>
    <t>Cơ sở an toàn thông tin</t>
  </si>
  <si>
    <t>Lập trình web</t>
  </si>
  <si>
    <t>Nhập môn công nghệ phần mềm</t>
  </si>
  <si>
    <t>Tư tưởng Hồ Chí Minh</t>
  </si>
  <si>
    <t>Mật mã học cơ sở</t>
  </si>
  <si>
    <t>NĂM THỨ NĂM</t>
  </si>
  <si>
    <t>HK9</t>
  </si>
  <si>
    <t>Thực tập và tốt nghiệp</t>
  </si>
  <si>
    <t>TỔNG CỘNG:</t>
  </si>
  <si>
    <t>Giáo dục thể chất 1</t>
  </si>
  <si>
    <t>Giáo dục thể chất 2</t>
  </si>
  <si>
    <t>Học phần tự chọn (*)</t>
  </si>
  <si>
    <t>(*): Các học phần tự chọn</t>
  </si>
  <si>
    <t>Mật mã học nâng cao</t>
  </si>
  <si>
    <t>Kỹ thuật theo dõi, giám sát an toàn mạng</t>
  </si>
  <si>
    <t>Phát triển phần mềm an toàn</t>
  </si>
  <si>
    <t>Khoa học pháp lý số</t>
  </si>
  <si>
    <t>Kỹ thuật số</t>
  </si>
  <si>
    <t>Các kỹ thuật giấu tin</t>
  </si>
  <si>
    <t>Phát triển ứng dụng cho các thiết bị di động</t>
  </si>
  <si>
    <t>An toàn ứng dụng web và cơ sở dữ liệu</t>
  </si>
  <si>
    <t>NGÀNH AN TOÀN THÔNG TIN</t>
  </si>
  <si>
    <t>Kiểm thử xâm nhập</t>
  </si>
  <si>
    <t>Lập trình với Python</t>
  </si>
  <si>
    <t>Phân tích mã độc</t>
  </si>
  <si>
    <t>Thực tập cơ sở</t>
  </si>
  <si>
    <t>Nhập môn trí tuệ nhân tạo</t>
  </si>
  <si>
    <t>Lịch sử Đảng cộng sản VN</t>
  </si>
  <si>
    <t>Kỹ năng mềm 1</t>
  </si>
  <si>
    <t>Kỹ năng mềm 2</t>
  </si>
  <si>
    <t>Kỹ năng mềm 3</t>
  </si>
  <si>
    <t>Triết học Mác Lênin</t>
  </si>
  <si>
    <t>Kinh tế chính trị Mác Lênin</t>
  </si>
  <si>
    <t>Chủ nghĩa xã hội khoa học</t>
  </si>
  <si>
    <t>hoặc học phần thay thế tốt nghiệp</t>
  </si>
  <si>
    <t>Tiếng Anh (Course 1)</t>
  </si>
  <si>
    <t>Vật lý 1 và thí nghiệm</t>
  </si>
  <si>
    <t>Tiếng Anh (Course 2)</t>
  </si>
  <si>
    <t>Vật lý 3 và thí nghiệm</t>
  </si>
  <si>
    <t>Tiếng Anh (Course 3)</t>
  </si>
  <si>
    <t>Tiếng Anh (Course 3 Plus)</t>
  </si>
  <si>
    <t>IoT và ứng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</si>
</sst>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11"/>
      <color rgb="FF000000"/>
      <name val="Tahoma"/>
      <family val="2"/>
    </font>
    <font>
      <sz val="10"/>
      <color rgb="FF000000"/>
      <name val="Tahoma"/>
      <family val="2"/>
    </font>
    <font>
      <i/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Calibri"/>
      <family val="2"/>
    </font>
    <font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u/>
      <sz val="10"/>
      <color rgb="FF000000"/>
      <name val="Tahoma"/>
      <family val="2"/>
    </font>
    <font>
      <sz val="10"/>
      <name val="Tahoma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3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2" fillId="6" borderId="0" xfId="0" applyFont="1" applyFill="1" applyAlignment="1">
      <alignment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997"/>
  <sheetViews>
    <sheetView showGridLines="0" tabSelected="1" topLeftCell="A19" zoomScaleNormal="100" workbookViewId="0">
      <selection activeCell="G50" sqref="G50"/>
    </sheetView>
  </sheetViews>
  <sheetFormatPr defaultColWidth="15.109375" defaultRowHeight="15" customHeight="1" x14ac:dyDescent="0.3"/>
  <cols>
    <col min="1" max="1" width="4.5546875" customWidth="1"/>
    <col min="2" max="2" width="34.44140625" customWidth="1"/>
    <col min="3" max="3" width="5.6640625" customWidth="1"/>
    <col min="4" max="4" width="6.44140625" customWidth="1"/>
    <col min="5" max="5" width="0.6640625" customWidth="1"/>
    <col min="6" max="6" width="4.5546875" customWidth="1"/>
    <col min="7" max="7" width="38.44140625" customWidth="1"/>
    <col min="8" max="8" width="5.6640625" customWidth="1"/>
    <col min="9" max="9" width="6.44140625" customWidth="1"/>
    <col min="10" max="10" width="8" customWidth="1"/>
    <col min="11" max="11" width="31.33203125" customWidth="1"/>
    <col min="12" max="14" width="8" customWidth="1"/>
    <col min="15" max="15" width="1.6640625" customWidth="1"/>
    <col min="16" max="16" width="8" customWidth="1"/>
    <col min="17" max="17" width="16.33203125" customWidth="1"/>
    <col min="18" max="24" width="8" customWidth="1"/>
  </cols>
  <sheetData>
    <row r="1" spans="1:24" ht="18" customHeight="1" x14ac:dyDescent="0.3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41" t="s">
        <v>62</v>
      </c>
      <c r="B2" s="42"/>
      <c r="C2" s="42"/>
      <c r="D2" s="42"/>
      <c r="E2" s="42"/>
      <c r="F2" s="42"/>
      <c r="G2" s="42"/>
      <c r="H2" s="42"/>
      <c r="I2" s="4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 x14ac:dyDescent="0.3">
      <c r="A3" s="45"/>
      <c r="B3" s="42"/>
      <c r="C3" s="42"/>
      <c r="D3" s="42"/>
      <c r="E3" s="42"/>
      <c r="F3" s="42"/>
      <c r="G3" s="42"/>
      <c r="H3" s="42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customHeight="1" x14ac:dyDescent="0.3">
      <c r="A4" s="39" t="s">
        <v>1</v>
      </c>
      <c r="B4" s="40"/>
      <c r="C4" s="40"/>
      <c r="D4" s="40"/>
      <c r="E4" s="2"/>
      <c r="F4" s="39" t="s">
        <v>2</v>
      </c>
      <c r="G4" s="40"/>
      <c r="H4" s="40"/>
      <c r="I4" s="4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2"/>
      <c r="F5" s="3" t="s">
        <v>3</v>
      </c>
      <c r="G5" s="4" t="s">
        <v>4</v>
      </c>
      <c r="H5" s="4" t="s">
        <v>5</v>
      </c>
      <c r="I5" s="4" t="s">
        <v>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" customHeight="1" x14ac:dyDescent="0.3">
      <c r="A6" s="19">
        <v>1</v>
      </c>
      <c r="B6" s="32" t="s">
        <v>72</v>
      </c>
      <c r="C6" s="33">
        <v>3</v>
      </c>
      <c r="D6" s="19" t="s">
        <v>7</v>
      </c>
      <c r="E6" s="20"/>
      <c r="F6" s="19">
        <v>1</v>
      </c>
      <c r="G6" s="32" t="s">
        <v>74</v>
      </c>
      <c r="H6" s="35">
        <v>2</v>
      </c>
      <c r="I6" s="19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customHeight="1" x14ac:dyDescent="0.3">
      <c r="A7" s="19">
        <v>2</v>
      </c>
      <c r="B7" s="32" t="s">
        <v>11</v>
      </c>
      <c r="C7" s="33">
        <v>3</v>
      </c>
      <c r="D7" s="19" t="s">
        <v>7</v>
      </c>
      <c r="E7" s="20"/>
      <c r="F7" s="19">
        <v>2</v>
      </c>
      <c r="G7" s="32" t="s">
        <v>78</v>
      </c>
      <c r="H7" s="33">
        <v>4</v>
      </c>
      <c r="I7" s="19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customHeight="1" x14ac:dyDescent="0.3">
      <c r="A8" s="19">
        <v>3</v>
      </c>
      <c r="B8" s="32" t="s">
        <v>12</v>
      </c>
      <c r="C8" s="33">
        <v>2</v>
      </c>
      <c r="D8" s="19" t="s">
        <v>7</v>
      </c>
      <c r="E8" s="20"/>
      <c r="F8" s="19">
        <v>3</v>
      </c>
      <c r="G8" s="32" t="s">
        <v>10</v>
      </c>
      <c r="H8" s="33">
        <v>3</v>
      </c>
      <c r="I8" s="19" t="s">
        <v>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customHeight="1" x14ac:dyDescent="0.3">
      <c r="A9" s="19">
        <v>4</v>
      </c>
      <c r="B9" s="32" t="s">
        <v>9</v>
      </c>
      <c r="C9" s="33">
        <v>3</v>
      </c>
      <c r="D9" s="19" t="s">
        <v>7</v>
      </c>
      <c r="E9" s="20"/>
      <c r="F9" s="19">
        <v>4</v>
      </c>
      <c r="G9" s="32" t="s">
        <v>79</v>
      </c>
      <c r="H9" s="33">
        <v>4</v>
      </c>
      <c r="I9" s="19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 x14ac:dyDescent="0.3">
      <c r="A10" s="19"/>
      <c r="B10" s="9" t="s">
        <v>50</v>
      </c>
      <c r="C10" s="19"/>
      <c r="D10" s="19" t="s">
        <v>7</v>
      </c>
      <c r="E10" s="20"/>
      <c r="F10" s="19">
        <v>5</v>
      </c>
      <c r="G10" s="36" t="s">
        <v>14</v>
      </c>
      <c r="H10" s="35">
        <v>3</v>
      </c>
      <c r="I10" s="19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customHeight="1" x14ac:dyDescent="0.3">
      <c r="A11" s="19"/>
      <c r="B11" s="9" t="s">
        <v>36</v>
      </c>
      <c r="C11" s="9"/>
      <c r="D11" s="19" t="s">
        <v>7</v>
      </c>
      <c r="E11" s="20"/>
      <c r="F11" s="19">
        <v>6</v>
      </c>
      <c r="G11" s="32" t="s">
        <v>13</v>
      </c>
      <c r="H11" s="33">
        <v>3</v>
      </c>
      <c r="I11" s="19" t="s">
        <v>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" customHeight="1" x14ac:dyDescent="0.3">
      <c r="A12" s="9"/>
      <c r="D12" s="19"/>
      <c r="E12" s="20"/>
      <c r="F12" s="19"/>
      <c r="G12" s="9" t="s">
        <v>69</v>
      </c>
      <c r="H12" s="19"/>
      <c r="I12" s="19" t="s">
        <v>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customHeight="1" x14ac:dyDescent="0.3">
      <c r="A13" s="9"/>
      <c r="B13" s="9"/>
      <c r="C13" s="22">
        <f>SUM(C6:C10)</f>
        <v>11</v>
      </c>
      <c r="D13" s="19"/>
      <c r="E13" s="20"/>
      <c r="F13" s="19"/>
      <c r="G13" s="9"/>
      <c r="H13" s="22">
        <f>SUM(H6:H12)</f>
        <v>19</v>
      </c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customHeight="1" x14ac:dyDescent="0.3">
      <c r="A14" s="23">
        <v>5</v>
      </c>
      <c r="B14" s="32" t="s">
        <v>73</v>
      </c>
      <c r="C14" s="33">
        <v>2</v>
      </c>
      <c r="D14" s="19" t="s">
        <v>16</v>
      </c>
      <c r="E14" s="20"/>
      <c r="F14" s="19">
        <v>7</v>
      </c>
      <c r="G14" s="32" t="s">
        <v>44</v>
      </c>
      <c r="H14" s="33">
        <v>2</v>
      </c>
      <c r="I14" s="19" t="s">
        <v>18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" customHeight="1" x14ac:dyDescent="0.3">
      <c r="A15" s="19">
        <v>6</v>
      </c>
      <c r="B15" s="32" t="s">
        <v>76</v>
      </c>
      <c r="C15" s="33">
        <v>4</v>
      </c>
      <c r="D15" s="19" t="s">
        <v>16</v>
      </c>
      <c r="E15" s="20"/>
      <c r="F15" s="23">
        <v>8</v>
      </c>
      <c r="G15" s="32" t="s">
        <v>80</v>
      </c>
      <c r="H15" s="33">
        <v>4</v>
      </c>
      <c r="I15" s="19" t="s">
        <v>18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customHeight="1" x14ac:dyDescent="0.3">
      <c r="A16" s="19">
        <v>7</v>
      </c>
      <c r="B16" s="34" t="s">
        <v>19</v>
      </c>
      <c r="C16" s="35">
        <v>3</v>
      </c>
      <c r="D16" s="19" t="s">
        <v>16</v>
      </c>
      <c r="E16" s="20"/>
      <c r="F16" s="19">
        <v>9</v>
      </c>
      <c r="G16" s="36" t="s">
        <v>32</v>
      </c>
      <c r="H16" s="35">
        <v>3</v>
      </c>
      <c r="I16" s="19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customHeight="1" x14ac:dyDescent="0.3">
      <c r="A17" s="19">
        <v>8</v>
      </c>
      <c r="B17" s="32" t="s">
        <v>77</v>
      </c>
      <c r="C17" s="33">
        <v>4</v>
      </c>
      <c r="D17" s="19" t="s">
        <v>16</v>
      </c>
      <c r="E17" s="20"/>
      <c r="F17" s="19">
        <v>10</v>
      </c>
      <c r="G17" s="34" t="s">
        <v>17</v>
      </c>
      <c r="H17" s="35">
        <v>3</v>
      </c>
      <c r="I17" s="19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customHeight="1" x14ac:dyDescent="0.3">
      <c r="A18" s="19">
        <v>9</v>
      </c>
      <c r="B18" s="32" t="s">
        <v>23</v>
      </c>
      <c r="C18" s="33">
        <v>2</v>
      </c>
      <c r="D18" s="19" t="s">
        <v>16</v>
      </c>
      <c r="E18" s="20"/>
      <c r="F18" s="19">
        <v>11</v>
      </c>
      <c r="G18" s="32" t="s">
        <v>20</v>
      </c>
      <c r="H18" s="33">
        <v>3</v>
      </c>
      <c r="I18" s="19" t="s">
        <v>18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customHeight="1" x14ac:dyDescent="0.3">
      <c r="A19" s="19">
        <v>10</v>
      </c>
      <c r="B19" s="32" t="s">
        <v>58</v>
      </c>
      <c r="C19" s="33">
        <v>2</v>
      </c>
      <c r="D19" s="19" t="s">
        <v>16</v>
      </c>
      <c r="E19" s="20"/>
      <c r="F19" s="19">
        <v>12</v>
      </c>
      <c r="G19" s="37" t="s">
        <v>27</v>
      </c>
      <c r="H19" s="35">
        <v>3</v>
      </c>
      <c r="I19" s="19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customHeight="1" x14ac:dyDescent="0.3">
      <c r="A20" s="19">
        <v>11</v>
      </c>
      <c r="B20" s="32" t="s">
        <v>21</v>
      </c>
      <c r="C20" s="33">
        <v>2</v>
      </c>
      <c r="D20" s="19" t="s">
        <v>16</v>
      </c>
      <c r="E20" s="20"/>
      <c r="F20" s="19"/>
      <c r="G20" s="9" t="s">
        <v>70</v>
      </c>
      <c r="H20" s="19"/>
      <c r="I20" s="19" t="s">
        <v>18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customHeight="1" x14ac:dyDescent="0.3">
      <c r="A21" s="19"/>
      <c r="B21" s="9" t="s">
        <v>51</v>
      </c>
      <c r="C21" s="19"/>
      <c r="D21" s="19" t="s">
        <v>16</v>
      </c>
      <c r="E21" s="20"/>
      <c r="H21" s="19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customHeight="1" x14ac:dyDescent="0.3">
      <c r="A22" s="19"/>
      <c r="B22" s="9"/>
      <c r="C22" s="22">
        <f>SUM(C14:C21)</f>
        <v>19</v>
      </c>
      <c r="D22" s="9"/>
      <c r="E22" s="20"/>
      <c r="F22" s="19"/>
      <c r="G22" s="9"/>
      <c r="H22" s="22">
        <f>SUM(H14:H21)</f>
        <v>18</v>
      </c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customHeight="1" x14ac:dyDescent="0.3">
      <c r="A23" s="19"/>
      <c r="B23" s="9"/>
      <c r="C23" s="19"/>
      <c r="D23" s="9"/>
      <c r="E23" s="38"/>
      <c r="F23" s="9"/>
      <c r="G23" s="9"/>
      <c r="H23" s="9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customHeight="1" x14ac:dyDescent="0.3">
      <c r="A24" s="43" t="s">
        <v>25</v>
      </c>
      <c r="B24" s="44"/>
      <c r="C24" s="44"/>
      <c r="D24" s="44"/>
      <c r="E24" s="20"/>
      <c r="F24" s="43" t="s">
        <v>26</v>
      </c>
      <c r="G24" s="44"/>
      <c r="H24" s="44"/>
      <c r="I24" s="4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customHeight="1" x14ac:dyDescent="0.3">
      <c r="A25" s="24" t="s">
        <v>3</v>
      </c>
      <c r="B25" s="24" t="s">
        <v>4</v>
      </c>
      <c r="C25" s="24" t="s">
        <v>5</v>
      </c>
      <c r="D25" s="24" t="s">
        <v>6</v>
      </c>
      <c r="E25" s="20"/>
      <c r="F25" s="24" t="s">
        <v>3</v>
      </c>
      <c r="G25" s="24" t="s">
        <v>4</v>
      </c>
      <c r="H25" s="24" t="s">
        <v>5</v>
      </c>
      <c r="I25" s="24" t="s">
        <v>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customHeight="1" x14ac:dyDescent="0.3">
      <c r="A26" s="19">
        <v>1</v>
      </c>
      <c r="B26" s="9" t="s">
        <v>68</v>
      </c>
      <c r="C26" s="19">
        <v>2</v>
      </c>
      <c r="D26" s="19" t="s">
        <v>28</v>
      </c>
      <c r="E26" s="20"/>
      <c r="F26" s="19">
        <v>1</v>
      </c>
      <c r="G26" s="29" t="s">
        <v>82</v>
      </c>
      <c r="H26" s="19">
        <v>3</v>
      </c>
      <c r="I26" s="19" t="s">
        <v>30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customHeight="1" x14ac:dyDescent="0.3">
      <c r="A27" s="19">
        <v>2</v>
      </c>
      <c r="B27" s="21" t="s">
        <v>81</v>
      </c>
      <c r="C27" s="19">
        <v>2</v>
      </c>
      <c r="D27" s="19" t="s">
        <v>28</v>
      </c>
      <c r="E27" s="20"/>
      <c r="F27" s="19">
        <v>2</v>
      </c>
      <c r="G27" s="9" t="s">
        <v>61</v>
      </c>
      <c r="H27" s="19">
        <v>3</v>
      </c>
      <c r="I27" s="19" t="s">
        <v>30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customHeight="1" x14ac:dyDescent="0.3">
      <c r="A28" s="19">
        <v>3</v>
      </c>
      <c r="B28" s="37" t="s">
        <v>31</v>
      </c>
      <c r="C28" s="33">
        <v>3</v>
      </c>
      <c r="D28" s="19" t="s">
        <v>28</v>
      </c>
      <c r="E28" s="20"/>
      <c r="F28" s="19">
        <v>3</v>
      </c>
      <c r="G28" s="8" t="s">
        <v>33</v>
      </c>
      <c r="H28" s="23">
        <v>3</v>
      </c>
      <c r="I28" s="19" t="s">
        <v>30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customHeight="1" x14ac:dyDescent="0.3">
      <c r="A29" s="23">
        <v>4</v>
      </c>
      <c r="B29" s="14" t="s">
        <v>22</v>
      </c>
      <c r="C29" s="23">
        <v>3</v>
      </c>
      <c r="D29" s="19" t="s">
        <v>28</v>
      </c>
      <c r="E29" s="20"/>
      <c r="F29" s="23">
        <v>4</v>
      </c>
      <c r="G29" s="8" t="s">
        <v>42</v>
      </c>
      <c r="H29" s="23">
        <v>3</v>
      </c>
      <c r="I29" s="19" t="s">
        <v>30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 customHeight="1" x14ac:dyDescent="0.3">
      <c r="A30" s="23">
        <v>5</v>
      </c>
      <c r="B30" s="13" t="s">
        <v>24</v>
      </c>
      <c r="C30" s="19">
        <v>3</v>
      </c>
      <c r="D30" s="19" t="s">
        <v>28</v>
      </c>
      <c r="E30" s="20"/>
      <c r="F30" s="23">
        <v>5</v>
      </c>
      <c r="G30" s="13" t="s">
        <v>37</v>
      </c>
      <c r="H30" s="19">
        <v>3</v>
      </c>
      <c r="I30" s="19" t="s">
        <v>30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customHeight="1" x14ac:dyDescent="0.3">
      <c r="A31" s="19">
        <v>6</v>
      </c>
      <c r="B31" s="9" t="s">
        <v>41</v>
      </c>
      <c r="C31" s="19">
        <v>3</v>
      </c>
      <c r="D31" s="25" t="s">
        <v>28</v>
      </c>
      <c r="E31" s="20"/>
      <c r="F31" s="19">
        <v>6</v>
      </c>
      <c r="G31" s="29" t="s">
        <v>15</v>
      </c>
      <c r="H31" s="23">
        <v>2</v>
      </c>
      <c r="I31" s="19" t="s">
        <v>30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customHeight="1" x14ac:dyDescent="0.3">
      <c r="A32" s="23">
        <v>7</v>
      </c>
      <c r="B32" s="9" t="s">
        <v>34</v>
      </c>
      <c r="C32" s="19">
        <v>3</v>
      </c>
      <c r="D32" s="25" t="s">
        <v>28</v>
      </c>
      <c r="E32" s="20"/>
      <c r="F32" s="23">
        <v>7</v>
      </c>
      <c r="G32" s="14" t="s">
        <v>52</v>
      </c>
      <c r="H32" s="23">
        <v>2</v>
      </c>
      <c r="I32" s="19" t="s">
        <v>30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customHeight="1" x14ac:dyDescent="0.3">
      <c r="A33" s="9"/>
      <c r="B33" s="9"/>
      <c r="C33" s="22">
        <f>SUM(C26:C32)</f>
        <v>19</v>
      </c>
      <c r="D33" s="19"/>
      <c r="E33" s="20"/>
      <c r="F33" s="19"/>
      <c r="G33" s="9"/>
      <c r="H33" s="22">
        <f>SUM(H26:H32)</f>
        <v>19</v>
      </c>
      <c r="I33" s="1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customHeight="1" x14ac:dyDescent="0.3">
      <c r="A34" s="23">
        <v>8</v>
      </c>
      <c r="B34" s="9" t="s">
        <v>35</v>
      </c>
      <c r="C34" s="19">
        <v>2</v>
      </c>
      <c r="D34" s="19" t="s">
        <v>38</v>
      </c>
      <c r="E34" s="20"/>
      <c r="F34" s="23">
        <v>8</v>
      </c>
      <c r="G34" s="9" t="s">
        <v>39</v>
      </c>
      <c r="H34" s="19">
        <v>3</v>
      </c>
      <c r="I34" s="19" t="s">
        <v>40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customHeight="1" x14ac:dyDescent="0.3">
      <c r="A35" s="19">
        <v>9</v>
      </c>
      <c r="B35" s="9" t="s">
        <v>64</v>
      </c>
      <c r="C35" s="19">
        <v>3</v>
      </c>
      <c r="D35" s="23" t="s">
        <v>38</v>
      </c>
      <c r="E35" s="20"/>
      <c r="F35" s="23">
        <v>9</v>
      </c>
      <c r="G35" s="9" t="s">
        <v>55</v>
      </c>
      <c r="H35" s="26">
        <v>2</v>
      </c>
      <c r="I35" s="19" t="s">
        <v>40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 customHeight="1" x14ac:dyDescent="0.3">
      <c r="A36" s="19">
        <v>10</v>
      </c>
      <c r="B36" s="8" t="s">
        <v>43</v>
      </c>
      <c r="C36" s="23">
        <v>3</v>
      </c>
      <c r="D36" s="19" t="s">
        <v>38</v>
      </c>
      <c r="E36" s="20"/>
      <c r="F36" s="23">
        <v>10</v>
      </c>
      <c r="G36" s="9" t="s">
        <v>63</v>
      </c>
      <c r="H36" s="19">
        <v>3</v>
      </c>
      <c r="I36" s="19" t="s">
        <v>40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9" customHeight="1" x14ac:dyDescent="0.3">
      <c r="A37" s="23">
        <v>11</v>
      </c>
      <c r="B37" s="8" t="s">
        <v>45</v>
      </c>
      <c r="C37" s="23">
        <v>3</v>
      </c>
      <c r="D37" s="23" t="s">
        <v>38</v>
      </c>
      <c r="E37" s="20"/>
      <c r="F37" s="23">
        <v>11</v>
      </c>
      <c r="G37" s="8" t="s">
        <v>60</v>
      </c>
      <c r="H37" s="23">
        <v>3</v>
      </c>
      <c r="I37" s="23" t="s">
        <v>40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 customHeight="1" x14ac:dyDescent="0.3">
      <c r="A38" s="23">
        <v>12</v>
      </c>
      <c r="B38" s="8" t="s">
        <v>67</v>
      </c>
      <c r="C38" s="23">
        <v>3</v>
      </c>
      <c r="D38" s="23" t="s">
        <v>38</v>
      </c>
      <c r="E38" s="20"/>
      <c r="F38" s="23">
        <v>12</v>
      </c>
      <c r="G38" s="9" t="s">
        <v>29</v>
      </c>
      <c r="H38" s="19">
        <v>3</v>
      </c>
      <c r="I38" s="23" t="s">
        <v>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customHeight="1" x14ac:dyDescent="0.3">
      <c r="A39" s="7">
        <v>13</v>
      </c>
      <c r="B39" s="8" t="s">
        <v>66</v>
      </c>
      <c r="C39" s="23">
        <v>3</v>
      </c>
      <c r="D39" s="23" t="s">
        <v>38</v>
      </c>
      <c r="E39" s="20"/>
      <c r="F39" s="23">
        <v>13</v>
      </c>
      <c r="G39" s="13" t="s">
        <v>52</v>
      </c>
      <c r="H39" s="23">
        <v>2</v>
      </c>
      <c r="I39" s="19" t="s">
        <v>40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 customHeight="1" x14ac:dyDescent="0.3">
      <c r="A40" s="7"/>
      <c r="B40" s="9" t="s">
        <v>71</v>
      </c>
      <c r="D40" s="23" t="s">
        <v>38</v>
      </c>
      <c r="E40" s="2"/>
      <c r="F40" s="23"/>
      <c r="J40" s="1"/>
      <c r="K40" s="14"/>
      <c r="L40" s="2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 customHeight="1" x14ac:dyDescent="0.3">
      <c r="A41" s="5"/>
      <c r="B41" s="1"/>
      <c r="C41" s="6">
        <f>SUM(C34:C39)</f>
        <v>17</v>
      </c>
      <c r="D41" s="1"/>
      <c r="E41" s="2"/>
      <c r="F41" s="7"/>
      <c r="G41" s="9"/>
      <c r="H41" s="6">
        <f>SUM(H34:H39)</f>
        <v>16</v>
      </c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" customHeight="1" x14ac:dyDescent="0.3">
      <c r="A42" s="1"/>
      <c r="B42" s="31"/>
      <c r="C42" s="30"/>
      <c r="D42" s="1"/>
      <c r="E42" s="2"/>
      <c r="F42" s="5"/>
      <c r="G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 customHeight="1" x14ac:dyDescent="0.3">
      <c r="A43" s="39" t="s">
        <v>46</v>
      </c>
      <c r="B43" s="40"/>
      <c r="C43" s="40"/>
      <c r="D43" s="40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" customHeight="1" x14ac:dyDescent="0.3">
      <c r="A44" s="1"/>
      <c r="B44" s="27" t="s">
        <v>48</v>
      </c>
      <c r="C44" s="28">
        <v>12</v>
      </c>
      <c r="D44" s="28" t="s">
        <v>47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 customHeight="1" x14ac:dyDescent="0.3">
      <c r="A45" s="1"/>
      <c r="B45" s="1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" customHeight="1" x14ac:dyDescent="0.3">
      <c r="A46" s="1"/>
      <c r="B46" s="1"/>
      <c r="C46" s="6">
        <f>C44</f>
        <v>12</v>
      </c>
      <c r="D46" s="1"/>
      <c r="E46" s="1"/>
      <c r="F46" s="1"/>
      <c r="G46" s="10" t="s">
        <v>49</v>
      </c>
      <c r="H46" s="11">
        <f>C46+H41+C41+H33+C33+H22+C22+H13+C13+C42</f>
        <v>150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" customHeight="1" x14ac:dyDescent="0.3">
      <c r="A48" s="15"/>
      <c r="B48" s="16" t="s">
        <v>53</v>
      </c>
      <c r="C48" s="15"/>
      <c r="D48" s="15"/>
      <c r="E48" s="1"/>
      <c r="F48" s="1"/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" customHeight="1" x14ac:dyDescent="0.3">
      <c r="A49" s="17">
        <v>1</v>
      </c>
      <c r="B49" s="15" t="s">
        <v>54</v>
      </c>
      <c r="C49" s="15">
        <v>2</v>
      </c>
      <c r="D49" s="15"/>
      <c r="E49" s="1"/>
      <c r="F49" s="1"/>
      <c r="G49" s="1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" customHeight="1" x14ac:dyDescent="0.3">
      <c r="A50" s="17">
        <v>2</v>
      </c>
      <c r="B50" s="15" t="s">
        <v>56</v>
      </c>
      <c r="C50" s="15">
        <v>2</v>
      </c>
      <c r="D50" s="15"/>
      <c r="E50" s="1"/>
      <c r="F50" s="1"/>
      <c r="G50" s="1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" customHeight="1" x14ac:dyDescent="0.3">
      <c r="A51" s="17">
        <v>3</v>
      </c>
      <c r="B51" s="15" t="s">
        <v>57</v>
      </c>
      <c r="C51" s="15">
        <v>2</v>
      </c>
      <c r="D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" customHeight="1" x14ac:dyDescent="0.3">
      <c r="A52" s="18">
        <v>4</v>
      </c>
      <c r="B52" s="12" t="s">
        <v>59</v>
      </c>
      <c r="C52" s="12">
        <v>2</v>
      </c>
      <c r="D52" s="1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" customHeight="1" x14ac:dyDescent="0.3">
      <c r="A53" s="18">
        <v>5</v>
      </c>
      <c r="B53" s="12" t="s">
        <v>65</v>
      </c>
      <c r="C53" s="12">
        <v>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</sheetData>
  <mergeCells count="8">
    <mergeCell ref="A43:D43"/>
    <mergeCell ref="A1:I1"/>
    <mergeCell ref="A2:I2"/>
    <mergeCell ref="A4:D4"/>
    <mergeCell ref="F4:I4"/>
    <mergeCell ref="A24:D24"/>
    <mergeCell ref="F24:I24"/>
    <mergeCell ref="A3:I3"/>
  </mergeCells>
  <printOptions horizontalCentered="1"/>
  <pageMargins left="0.2" right="0.2" top="0.5" bottom="0.5" header="0.118110236220472" footer="0.118110236220472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5.109375" defaultRowHeight="15" customHeight="1" x14ac:dyDescent="0.3"/>
  <cols>
    <col min="1" max="26" width="7.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5.109375" defaultRowHeight="15" customHeight="1" x14ac:dyDescent="0.3"/>
  <cols>
    <col min="1" max="26" width="7.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 toan thong tin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TungDang</dc:creator>
  <cp:lastModifiedBy>Dau Hoang</cp:lastModifiedBy>
  <cp:lastPrinted>2023-09-14T16:04:03Z</cp:lastPrinted>
  <dcterms:created xsi:type="dcterms:W3CDTF">2016-04-06T07:22:16Z</dcterms:created>
  <dcterms:modified xsi:type="dcterms:W3CDTF">2025-11-10T09:22:20Z</dcterms:modified>
</cp:coreProperties>
</file>